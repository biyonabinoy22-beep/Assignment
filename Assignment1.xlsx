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3550163BF2EA22/Documents/"/>
    </mc:Choice>
  </mc:AlternateContent>
  <xr:revisionPtr revIDLastSave="9" documentId="8_{D4767211-6A88-45B7-90ED-8B9C4CDBED2E}" xr6:coauthVersionLast="47" xr6:coauthVersionMax="47" xr10:uidLastSave="{472EE519-D7D0-4B2B-B651-449EE38436F6}"/>
  <bookViews>
    <workbookView xWindow="-108" yWindow="-108" windowWidth="23256" windowHeight="12456" xr2:uid="{110498A2-63E6-4869-B48C-1D5DC9285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I2" i="1"/>
  <c r="H2" i="1"/>
  <c r="A52" i="1"/>
  <c r="A50" i="1"/>
  <c r="G2" i="1"/>
  <c r="A46" i="1"/>
  <c r="A44" i="1"/>
  <c r="A42" i="1"/>
  <c r="A38" i="1"/>
  <c r="A4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</calcChain>
</file>

<file path=xl/sharedStrings.xml><?xml version="1.0" encoding="utf-8"?>
<sst xmlns="http://schemas.openxmlformats.org/spreadsheetml/2006/main" count="157" uniqueCount="108">
  <si>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</si>
  <si>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</si>
  <si>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</si>
  <si>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</si>
  <si>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</si>
  <si>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</si>
  <si>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</si>
  <si>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</si>
  <si>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</si>
  <si>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</si>
  <si>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</si>
  <si>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</si>
  <si>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</si>
  <si>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</si>
  <si>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</si>
  <si>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</si>
  <si>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</si>
  <si>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</si>
  <si>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</si>
  <si>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</si>
  <si>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</si>
  <si>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</si>
  <si>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</si>
  <si>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</si>
  <si>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</si>
  <si>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</si>
  <si>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</si>
  <si>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</si>
  <si>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</si>
  <si>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</si>
  <si>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</si>
  <si>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</si>
  <si>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</si>
  <si>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</si>
  <si>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</si>
  <si>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</si>
  <si>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</si>
  <si>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</si>
  <si>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</si>
  <si>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</si>
  <si>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</si>
  <si>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</si>
  <si>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</si>
  <si>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</si>
  <si>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</si>
  <si>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</si>
  <si>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</si>
  <si>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</si>
  <si>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</si>
  <si>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</si>
  <si>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</si>
  <si>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</si>
  <si>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</si>
  <si>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</si>
  <si>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</si>
  <si>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</si>
  <si>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</si>
  <si>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</si>
  <si>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</si>
  <si>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</si>
  <si>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</si>
  <si>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</si>
  <si>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</si>
  <si>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</si>
  <si>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</si>
  <si>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</si>
  <si>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</si>
  <si>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</si>
  <si>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</si>
  <si>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</si>
  <si>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</si>
  <si>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</si>
  <si>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</si>
  <si>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</si>
  <si>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</si>
  <si>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</si>
  <si>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</si>
  <si>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</si>
  <si>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</si>
  <si>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</si>
  <si>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</si>
  <si>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</si>
  <si>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</si>
  <si>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</si>
  <si>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</si>
  <si>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</si>
  <si>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</si>
  <si>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</si>
  <si>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</si>
  <si>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</si>
  <si>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</si>
  <si>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</si>
  <si>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</si>
  <si>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• What is the total price of all products in the dataset?</t>
  </si>
  <si>
    <t>• How many products are there in the dataset?</t>
  </si>
  <si>
    <t>• Calculate the average price of the products.</t>
  </si>
  <si>
    <t>• Determine the minimum price among all products.</t>
  </si>
  <si>
    <t>• Find the maximum price among all products.</t>
  </si>
  <si>
    <t>• Using an IF function, create a new column named Price Range to categorize products with a price greater than or equal to $500 as 'High Price' and others as 'Standard Price'.</t>
  </si>
  <si>
    <t>Price Range</t>
  </si>
  <si>
    <t>• Calculate the total price for products in the 'Electronics' category using the SUMIF function.</t>
  </si>
  <si>
    <t>• Determine the count of products with a price less than $100 using the COUNTIF function.</t>
  </si>
  <si>
    <t>• Create a new column named Day with the first 2 characters of each 'Product ID' using the LEFT function.</t>
  </si>
  <si>
    <t>Day</t>
  </si>
  <si>
    <t>• Create a new column named Country Code by extracting the last 2 characters from the 'Product ID' column using the RIGHT function.</t>
  </si>
  <si>
    <t>Country Code</t>
  </si>
  <si>
    <t>• Create a new column named Month by extracting 4th to 6th characters from the 'Product ID' column using the MID function.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</si>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</sst>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4C4C-34A5-42F3-8548-E5370219F059}">
  <dimension ref="A1:S57"/>
  <sheetViews>
    <sheetView tabSelected="1" workbookViewId="0">
      <selection activeCell="J3" sqref="J3"/>
    </sheetView>
  </sheetViews>
  <sheetFormatPr defaultRowHeight="14.4" x14ac:dyDescent="0.3"/>
  <cols>
    <col min="1" max="1" width="8.88671875" customWidth="1"/>
    <col min="7" max="7" width="15" customWidth="1"/>
  </cols>
  <sheetData>
    <row r="1" spans="1:19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99</v>
      </c>
      <c r="H1" s="5" t="s">
        <v>103</v>
      </c>
      <c r="I1" s="5" t="s">
        <v>105</v>
      </c>
      <c r="J1" s="5" t="s">
        <v>107</v>
      </c>
    </row>
    <row r="2" spans="1:19" ht="27.6" thickBot="1" x14ac:dyDescent="0.3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 t="str">
        <f>IF(D1&gt;=500,"High Price","Standard Price")</f>
        <v>High Price</v>
      </c>
      <c r="H2" s="2" t="str">
        <f>LEFT(A2:A35,2)</f>
        <v>28</v>
      </c>
      <c r="I2" s="2" t="str">
        <f>RIGHT(A2:A35,2)</f>
        <v>US</v>
      </c>
      <c r="J2" s="2" t="str">
        <f>MID(A2:A35,4,3)</f>
        <v>JAN</v>
      </c>
    </row>
    <row r="3" spans="1:19" ht="27.6" thickBot="1" x14ac:dyDescent="0.35">
      <c r="A3" s="2" t="s">
        <v>10</v>
      </c>
      <c r="B3" s="2" t="s">
        <v>11</v>
      </c>
      <c r="C3" s="2" t="s">
        <v>12</v>
      </c>
      <c r="D3" s="2">
        <v>80</v>
      </c>
      <c r="E3" s="2">
        <v>15</v>
      </c>
      <c r="F3" s="2" t="s">
        <v>13</v>
      </c>
      <c r="G3" s="2" t="str">
        <f t="shared" ref="G3:G35" si="0">IF(D2&gt;=500,"High Price","Standard Price")</f>
        <v>High Price</v>
      </c>
      <c r="H3" s="2" t="str">
        <f t="shared" ref="H3:H35" si="1">LEFT(A3:A36,2)</f>
        <v>15</v>
      </c>
      <c r="I3" s="2" t="str">
        <f t="shared" ref="I3:I35" si="2">RIGHT(A3:A36,2)</f>
        <v>US</v>
      </c>
      <c r="J3" s="2" t="str">
        <f t="shared" ref="J3:J35" si="3">MID(A3:A36,4,3)</f>
        <v>FEB</v>
      </c>
    </row>
    <row r="4" spans="1:19" ht="27.6" thickBot="1" x14ac:dyDescent="0.3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 t="str">
        <f t="shared" si="0"/>
        <v>Standard Price</v>
      </c>
      <c r="H4" s="2" t="str">
        <f t="shared" si="1"/>
        <v>03</v>
      </c>
      <c r="I4" s="2" t="str">
        <f t="shared" si="2"/>
        <v>US</v>
      </c>
      <c r="J4" s="2" t="str">
        <f t="shared" si="3"/>
        <v>MAR</v>
      </c>
    </row>
    <row r="5" spans="1:19" ht="27.6" thickBot="1" x14ac:dyDescent="0.35">
      <c r="A5" s="2" t="s">
        <v>18</v>
      </c>
      <c r="B5" s="2" t="s">
        <v>19</v>
      </c>
      <c r="C5" s="2" t="s">
        <v>20</v>
      </c>
      <c r="D5" s="2">
        <v>900</v>
      </c>
      <c r="E5" s="2">
        <v>25</v>
      </c>
      <c r="F5" s="2" t="s">
        <v>9</v>
      </c>
      <c r="G5" s="2" t="str">
        <f t="shared" si="0"/>
        <v>Standard Price</v>
      </c>
      <c r="H5" s="2" t="str">
        <f t="shared" si="1"/>
        <v>11</v>
      </c>
      <c r="I5" s="2" t="str">
        <f t="shared" si="2"/>
        <v>US</v>
      </c>
      <c r="J5" s="2" t="str">
        <f t="shared" si="3"/>
        <v>APR</v>
      </c>
    </row>
    <row r="6" spans="1:19" ht="27.6" thickBot="1" x14ac:dyDescent="0.3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 t="str">
        <f t="shared" si="0"/>
        <v>High Price</v>
      </c>
      <c r="H6" s="2" t="str">
        <f t="shared" si="1"/>
        <v>22</v>
      </c>
      <c r="I6" s="2" t="str">
        <f t="shared" si="2"/>
        <v>US</v>
      </c>
      <c r="J6" s="2" t="str">
        <f t="shared" si="3"/>
        <v>MAY</v>
      </c>
    </row>
    <row r="7" spans="1:19" ht="27.6" thickBot="1" x14ac:dyDescent="0.35">
      <c r="A7" s="2" t="s">
        <v>25</v>
      </c>
      <c r="B7" s="2" t="s">
        <v>26</v>
      </c>
      <c r="C7" s="2" t="s">
        <v>27</v>
      </c>
      <c r="D7" s="2">
        <v>200</v>
      </c>
      <c r="E7" s="2">
        <v>45</v>
      </c>
      <c r="F7" s="2" t="s">
        <v>9</v>
      </c>
      <c r="G7" s="2" t="str">
        <f t="shared" si="0"/>
        <v>Standard Price</v>
      </c>
      <c r="H7" s="2" t="str">
        <f t="shared" si="1"/>
        <v>07</v>
      </c>
      <c r="I7" s="2" t="str">
        <f t="shared" si="2"/>
        <v>UK</v>
      </c>
      <c r="J7" s="2" t="str">
        <f t="shared" si="3"/>
        <v>JUN</v>
      </c>
      <c r="K7" s="4"/>
    </row>
    <row r="8" spans="1:19" ht="27.6" thickBot="1" x14ac:dyDescent="0.3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 t="str">
        <f t="shared" si="0"/>
        <v>Standard Price</v>
      </c>
      <c r="H8" s="2" t="str">
        <f t="shared" si="1"/>
        <v>19</v>
      </c>
      <c r="I8" s="2" t="str">
        <f t="shared" si="2"/>
        <v>UK</v>
      </c>
      <c r="J8" s="2" t="str">
        <f t="shared" si="3"/>
        <v>JUL</v>
      </c>
    </row>
    <row r="9" spans="1:19" ht="27.6" thickBot="1" x14ac:dyDescent="0.35">
      <c r="A9" s="2" t="s">
        <v>31</v>
      </c>
      <c r="B9" s="2" t="s">
        <v>32</v>
      </c>
      <c r="C9" s="2" t="s">
        <v>33</v>
      </c>
      <c r="D9" s="2">
        <v>90</v>
      </c>
      <c r="E9" s="2">
        <v>35</v>
      </c>
      <c r="F9" s="2" t="s">
        <v>17</v>
      </c>
      <c r="G9" s="2" t="str">
        <f t="shared" si="0"/>
        <v>Standard Price</v>
      </c>
      <c r="H9" s="2" t="str">
        <f t="shared" si="1"/>
        <v>23</v>
      </c>
      <c r="I9" s="2" t="str">
        <f t="shared" si="2"/>
        <v>UK</v>
      </c>
      <c r="J9" s="2" t="str">
        <f t="shared" si="3"/>
        <v>AUG</v>
      </c>
    </row>
    <row r="10" spans="1:19" ht="27.6" thickBot="1" x14ac:dyDescent="0.3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 t="str">
        <f t="shared" si="0"/>
        <v>Standard Price</v>
      </c>
      <c r="H10" s="2" t="str">
        <f t="shared" si="1"/>
        <v>05</v>
      </c>
      <c r="I10" s="2" t="str">
        <f t="shared" si="2"/>
        <v>UK</v>
      </c>
      <c r="J10" s="2" t="str">
        <f t="shared" si="3"/>
        <v>SEP</v>
      </c>
    </row>
    <row r="11" spans="1:19" ht="27.6" thickBot="1" x14ac:dyDescent="0.35">
      <c r="A11" s="2" t="s">
        <v>37</v>
      </c>
      <c r="B11" s="2" t="s">
        <v>38</v>
      </c>
      <c r="C11" s="2" t="s">
        <v>39</v>
      </c>
      <c r="D11" s="2">
        <v>130</v>
      </c>
      <c r="E11" s="2">
        <v>10</v>
      </c>
      <c r="F11" s="2" t="s">
        <v>24</v>
      </c>
      <c r="G11" s="2" t="str">
        <f t="shared" si="0"/>
        <v>High Price</v>
      </c>
      <c r="H11" s="2" t="str">
        <f t="shared" si="1"/>
        <v>14</v>
      </c>
      <c r="I11" s="2" t="str">
        <f t="shared" si="2"/>
        <v>UK</v>
      </c>
      <c r="J11" s="2" t="str">
        <f t="shared" si="3"/>
        <v>OCT</v>
      </c>
      <c r="K11" s="4"/>
      <c r="L11" s="4"/>
      <c r="M11" s="4"/>
      <c r="N11" s="4"/>
      <c r="O11" s="4"/>
      <c r="P11" s="4"/>
      <c r="Q11" s="4"/>
      <c r="R11" s="4"/>
      <c r="S11" s="4"/>
    </row>
    <row r="12" spans="1:19" ht="27.6" thickBot="1" x14ac:dyDescent="0.3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 t="str">
        <f t="shared" si="0"/>
        <v>Standard Price</v>
      </c>
      <c r="H12" s="2" t="str">
        <f t="shared" si="1"/>
        <v>17</v>
      </c>
      <c r="I12" s="2" t="str">
        <f t="shared" si="2"/>
        <v>IN</v>
      </c>
      <c r="J12" s="2" t="str">
        <f t="shared" si="3"/>
        <v>JUN</v>
      </c>
    </row>
    <row r="13" spans="1:19" ht="27.6" thickBot="1" x14ac:dyDescent="0.35">
      <c r="A13" s="2" t="s">
        <v>42</v>
      </c>
      <c r="B13" s="2" t="s">
        <v>11</v>
      </c>
      <c r="C13" s="2" t="s">
        <v>30</v>
      </c>
      <c r="D13" s="2">
        <v>90</v>
      </c>
      <c r="E13" s="2">
        <v>40</v>
      </c>
      <c r="F13" s="2" t="s">
        <v>13</v>
      </c>
      <c r="G13" s="2" t="str">
        <f t="shared" si="0"/>
        <v>High Price</v>
      </c>
      <c r="H13" s="2" t="str">
        <f t="shared" si="1"/>
        <v>25</v>
      </c>
      <c r="I13" s="2" t="str">
        <f t="shared" si="2"/>
        <v>AU</v>
      </c>
      <c r="J13" s="2" t="str">
        <f t="shared" si="3"/>
        <v>NOV</v>
      </c>
    </row>
    <row r="14" spans="1:19" ht="27.6" thickBot="1" x14ac:dyDescent="0.3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 t="str">
        <f t="shared" si="0"/>
        <v>Standard Price</v>
      </c>
      <c r="H14" s="2" t="str">
        <f t="shared" si="1"/>
        <v>08</v>
      </c>
      <c r="I14" s="2" t="str">
        <f t="shared" si="2"/>
        <v>DE</v>
      </c>
      <c r="J14" s="2" t="str">
        <f t="shared" si="3"/>
        <v>DEC</v>
      </c>
    </row>
    <row r="15" spans="1:19" ht="27.6" thickBot="1" x14ac:dyDescent="0.35">
      <c r="A15" s="2" t="s">
        <v>45</v>
      </c>
      <c r="B15" s="2" t="s">
        <v>46</v>
      </c>
      <c r="C15" s="2" t="s">
        <v>47</v>
      </c>
      <c r="D15" s="2">
        <v>150</v>
      </c>
      <c r="E15" s="2">
        <v>15</v>
      </c>
      <c r="F15" s="2" t="s">
        <v>9</v>
      </c>
      <c r="G15" s="2" t="str">
        <f t="shared" si="0"/>
        <v>Standard Price</v>
      </c>
      <c r="H15" s="2" t="str">
        <f t="shared" si="1"/>
        <v>18</v>
      </c>
      <c r="I15" s="2" t="str">
        <f t="shared" si="2"/>
        <v>CA</v>
      </c>
      <c r="J15" s="2" t="str">
        <f t="shared" si="3"/>
        <v>FEB</v>
      </c>
    </row>
    <row r="16" spans="1:19" ht="27.6" thickBot="1" x14ac:dyDescent="0.3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 t="str">
        <f t="shared" si="0"/>
        <v>Standard Price</v>
      </c>
      <c r="H16" s="2" t="str">
        <f t="shared" si="1"/>
        <v>16</v>
      </c>
      <c r="I16" s="2" t="str">
        <f t="shared" si="2"/>
        <v>ES</v>
      </c>
      <c r="J16" s="2" t="str">
        <f t="shared" si="3"/>
        <v>APR</v>
      </c>
    </row>
    <row r="17" spans="1:10" ht="27.6" thickBot="1" x14ac:dyDescent="0.35">
      <c r="A17" s="2" t="s">
        <v>50</v>
      </c>
      <c r="B17" s="2" t="s">
        <v>51</v>
      </c>
      <c r="C17" s="2" t="s">
        <v>52</v>
      </c>
      <c r="D17" s="2">
        <v>50</v>
      </c>
      <c r="E17" s="2">
        <v>35</v>
      </c>
      <c r="F17" s="2" t="s">
        <v>53</v>
      </c>
      <c r="G17" s="2" t="str">
        <f t="shared" si="0"/>
        <v>Standard Price</v>
      </c>
      <c r="H17" s="2" t="str">
        <f t="shared" si="1"/>
        <v>21</v>
      </c>
      <c r="I17" s="2" t="str">
        <f t="shared" si="2"/>
        <v>CA</v>
      </c>
      <c r="J17" s="2" t="str">
        <f t="shared" si="3"/>
        <v>AUG</v>
      </c>
    </row>
    <row r="18" spans="1:10" ht="27.6" thickBot="1" x14ac:dyDescent="0.3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 t="str">
        <f t="shared" si="0"/>
        <v>Standard Price</v>
      </c>
      <c r="H18" s="2" t="str">
        <f t="shared" si="1"/>
        <v>20</v>
      </c>
      <c r="I18" s="2" t="str">
        <f t="shared" si="2"/>
        <v>CN</v>
      </c>
      <c r="J18" s="2" t="str">
        <f t="shared" si="3"/>
        <v>AUG</v>
      </c>
    </row>
    <row r="19" spans="1:10" ht="27.6" thickBot="1" x14ac:dyDescent="0.35">
      <c r="A19" s="2" t="s">
        <v>56</v>
      </c>
      <c r="B19" s="2" t="s">
        <v>7</v>
      </c>
      <c r="C19" s="2" t="s">
        <v>57</v>
      </c>
      <c r="D19" s="2">
        <v>980</v>
      </c>
      <c r="E19" s="2">
        <v>10</v>
      </c>
      <c r="F19" s="2" t="s">
        <v>9</v>
      </c>
      <c r="G19" s="2" t="str">
        <f t="shared" si="0"/>
        <v>Standard Price</v>
      </c>
      <c r="H19" s="2" t="str">
        <f t="shared" si="1"/>
        <v>27</v>
      </c>
      <c r="I19" s="2" t="str">
        <f t="shared" si="2"/>
        <v>IT</v>
      </c>
      <c r="J19" s="2" t="str">
        <f t="shared" si="3"/>
        <v>JAN</v>
      </c>
    </row>
    <row r="20" spans="1:10" ht="27.6" thickBot="1" x14ac:dyDescent="0.3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 t="str">
        <f t="shared" si="0"/>
        <v>High Price</v>
      </c>
      <c r="H20" s="2" t="str">
        <f t="shared" si="1"/>
        <v>01</v>
      </c>
      <c r="I20" s="2" t="str">
        <f t="shared" si="2"/>
        <v>UK</v>
      </c>
      <c r="J20" s="2" t="str">
        <f t="shared" si="3"/>
        <v>MAR</v>
      </c>
    </row>
    <row r="21" spans="1:10" ht="27.6" thickBot="1" x14ac:dyDescent="0.35">
      <c r="A21" s="2" t="s">
        <v>61</v>
      </c>
      <c r="B21" s="2" t="s">
        <v>62</v>
      </c>
      <c r="C21" s="2" t="s">
        <v>63</v>
      </c>
      <c r="D21" s="2">
        <v>200</v>
      </c>
      <c r="E21" s="2">
        <v>10</v>
      </c>
      <c r="F21" s="2" t="s">
        <v>24</v>
      </c>
      <c r="G21" s="2" t="str">
        <f t="shared" si="0"/>
        <v>Standard Price</v>
      </c>
      <c r="H21" s="2" t="str">
        <f t="shared" si="1"/>
        <v>14</v>
      </c>
      <c r="I21" s="2" t="str">
        <f t="shared" si="2"/>
        <v>US</v>
      </c>
      <c r="J21" s="2" t="str">
        <f t="shared" si="3"/>
        <v>AUG</v>
      </c>
    </row>
    <row r="22" spans="1:10" ht="27.6" thickBot="1" x14ac:dyDescent="0.3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 t="str">
        <f t="shared" si="0"/>
        <v>Standard Price</v>
      </c>
      <c r="H22" s="2" t="str">
        <f t="shared" si="1"/>
        <v>14</v>
      </c>
      <c r="I22" s="2" t="str">
        <f t="shared" si="2"/>
        <v>RU</v>
      </c>
      <c r="J22" s="2" t="str">
        <f t="shared" si="3"/>
        <v>MAY</v>
      </c>
    </row>
    <row r="23" spans="1:10" ht="27.6" thickBot="1" x14ac:dyDescent="0.35">
      <c r="A23" s="2" t="s">
        <v>67</v>
      </c>
      <c r="B23" s="2" t="s">
        <v>68</v>
      </c>
      <c r="C23" s="2" t="s">
        <v>69</v>
      </c>
      <c r="D23" s="2">
        <v>80</v>
      </c>
      <c r="E23" s="2">
        <v>20</v>
      </c>
      <c r="F23" s="2" t="s">
        <v>17</v>
      </c>
      <c r="G23" s="2" t="str">
        <f t="shared" si="0"/>
        <v>High Price</v>
      </c>
      <c r="H23" s="2" t="str">
        <f t="shared" si="1"/>
        <v>09</v>
      </c>
      <c r="I23" s="2" t="str">
        <f t="shared" si="2"/>
        <v>CA</v>
      </c>
      <c r="J23" s="2" t="str">
        <f t="shared" si="3"/>
        <v>JAN</v>
      </c>
    </row>
    <row r="24" spans="1:10" ht="27.6" thickBot="1" x14ac:dyDescent="0.3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 t="str">
        <f t="shared" si="0"/>
        <v>Standard Price</v>
      </c>
      <c r="H24" s="2" t="str">
        <f t="shared" si="1"/>
        <v>19</v>
      </c>
      <c r="I24" s="2" t="str">
        <f t="shared" si="2"/>
        <v>BR</v>
      </c>
      <c r="J24" s="2" t="str">
        <f t="shared" si="3"/>
        <v>JUL</v>
      </c>
    </row>
    <row r="25" spans="1:10" ht="27.6" thickBot="1" x14ac:dyDescent="0.35">
      <c r="A25" s="2" t="s">
        <v>50</v>
      </c>
      <c r="B25" s="2" t="s">
        <v>51</v>
      </c>
      <c r="C25" s="2" t="s">
        <v>52</v>
      </c>
      <c r="D25" s="2">
        <v>50</v>
      </c>
      <c r="E25" s="2">
        <v>35</v>
      </c>
      <c r="F25" s="2" t="s">
        <v>53</v>
      </c>
      <c r="G25" s="2" t="str">
        <f t="shared" si="0"/>
        <v>Standard Price</v>
      </c>
      <c r="H25" s="2" t="str">
        <f t="shared" si="1"/>
        <v>21</v>
      </c>
      <c r="I25" s="2" t="str">
        <f t="shared" si="2"/>
        <v>CA</v>
      </c>
      <c r="J25" s="2" t="str">
        <f t="shared" si="3"/>
        <v>AUG</v>
      </c>
    </row>
    <row r="26" spans="1:10" ht="27.6" thickBot="1" x14ac:dyDescent="0.3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 t="str">
        <f t="shared" si="0"/>
        <v>Standard Price</v>
      </c>
      <c r="H26" s="2" t="str">
        <f t="shared" si="1"/>
        <v>29</v>
      </c>
      <c r="I26" s="2" t="str">
        <f t="shared" si="2"/>
        <v>CA</v>
      </c>
      <c r="J26" s="2" t="str">
        <f t="shared" si="3"/>
        <v>SEP</v>
      </c>
    </row>
    <row r="27" spans="1:10" ht="27.6" thickBot="1" x14ac:dyDescent="0.35">
      <c r="A27" s="2" t="s">
        <v>75</v>
      </c>
      <c r="B27" s="2" t="s">
        <v>59</v>
      </c>
      <c r="C27" s="2" t="s">
        <v>76</v>
      </c>
      <c r="D27" s="2">
        <v>130</v>
      </c>
      <c r="E27" s="2">
        <v>25</v>
      </c>
      <c r="F27" s="2" t="s">
        <v>13</v>
      </c>
      <c r="G27" s="2" t="str">
        <f t="shared" si="0"/>
        <v>High Price</v>
      </c>
      <c r="H27" s="2" t="str">
        <f t="shared" si="1"/>
        <v>03</v>
      </c>
      <c r="I27" s="2" t="str">
        <f t="shared" si="2"/>
        <v>CA</v>
      </c>
      <c r="J27" s="2" t="str">
        <f t="shared" si="3"/>
        <v>JUN</v>
      </c>
    </row>
    <row r="28" spans="1:10" ht="27.6" thickBot="1" x14ac:dyDescent="0.3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 t="str">
        <f t="shared" si="0"/>
        <v>Standard Price</v>
      </c>
      <c r="H28" s="2" t="str">
        <f t="shared" si="1"/>
        <v>11</v>
      </c>
      <c r="I28" s="2" t="str">
        <f t="shared" si="2"/>
        <v>CA</v>
      </c>
      <c r="J28" s="2" t="str">
        <f t="shared" si="3"/>
        <v>JUL</v>
      </c>
    </row>
    <row r="29" spans="1:10" ht="27.6" thickBot="1" x14ac:dyDescent="0.35">
      <c r="A29" s="2" t="s">
        <v>48</v>
      </c>
      <c r="B29" s="2" t="s">
        <v>26</v>
      </c>
      <c r="C29" s="2" t="s">
        <v>49</v>
      </c>
      <c r="D29" s="2">
        <v>230</v>
      </c>
      <c r="E29" s="2">
        <v>20</v>
      </c>
      <c r="F29" s="2" t="s">
        <v>9</v>
      </c>
      <c r="G29" s="2" t="str">
        <f t="shared" si="0"/>
        <v>Standard Price</v>
      </c>
      <c r="H29" s="2" t="str">
        <f t="shared" si="1"/>
        <v>16</v>
      </c>
      <c r="I29" s="2" t="str">
        <f t="shared" si="2"/>
        <v>ES</v>
      </c>
      <c r="J29" s="2" t="str">
        <f t="shared" si="3"/>
        <v>APR</v>
      </c>
    </row>
    <row r="30" spans="1:10" ht="27.6" thickBot="1" x14ac:dyDescent="0.3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 t="str">
        <f t="shared" si="0"/>
        <v>Standard Price</v>
      </c>
      <c r="H30" s="2" t="str">
        <f t="shared" si="1"/>
        <v>07</v>
      </c>
      <c r="I30" s="2" t="str">
        <f t="shared" si="2"/>
        <v>CA</v>
      </c>
      <c r="J30" s="2" t="str">
        <f t="shared" si="3"/>
        <v>MAR</v>
      </c>
    </row>
    <row r="31" spans="1:10" ht="27.6" thickBot="1" x14ac:dyDescent="0.35">
      <c r="A31" s="2" t="s">
        <v>82</v>
      </c>
      <c r="B31" s="2" t="s">
        <v>83</v>
      </c>
      <c r="C31" s="2" t="s">
        <v>84</v>
      </c>
      <c r="D31" s="2">
        <v>40</v>
      </c>
      <c r="E31" s="2">
        <v>10</v>
      </c>
      <c r="F31" s="2" t="s">
        <v>17</v>
      </c>
      <c r="G31" s="2" t="str">
        <f t="shared" si="0"/>
        <v>Standard Price</v>
      </c>
      <c r="H31" s="2" t="str">
        <f t="shared" si="1"/>
        <v>13</v>
      </c>
      <c r="I31" s="2" t="str">
        <f t="shared" si="2"/>
        <v>CA</v>
      </c>
      <c r="J31" s="2" t="str">
        <f t="shared" si="3"/>
        <v>APR</v>
      </c>
    </row>
    <row r="32" spans="1:10" ht="27.6" thickBot="1" x14ac:dyDescent="0.3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 t="str">
        <f t="shared" si="0"/>
        <v>Standard Price</v>
      </c>
      <c r="H32" s="2" t="str">
        <f t="shared" si="1"/>
        <v>24</v>
      </c>
      <c r="I32" s="2" t="str">
        <f t="shared" si="2"/>
        <v>CA</v>
      </c>
      <c r="J32" s="2" t="str">
        <f t="shared" si="3"/>
        <v>MAY</v>
      </c>
    </row>
    <row r="33" spans="1:10" ht="27.6" thickBot="1" x14ac:dyDescent="0.35">
      <c r="A33" s="2" t="s">
        <v>87</v>
      </c>
      <c r="B33" s="2" t="s">
        <v>88</v>
      </c>
      <c r="C33" s="2" t="s">
        <v>89</v>
      </c>
      <c r="D33" s="2">
        <v>50</v>
      </c>
      <c r="E33" s="2">
        <v>50</v>
      </c>
      <c r="F33" s="2" t="s">
        <v>13</v>
      </c>
      <c r="G33" s="2" t="str">
        <f t="shared" si="0"/>
        <v>Standard Price</v>
      </c>
      <c r="H33" s="2" t="str">
        <f t="shared" si="1"/>
        <v>02</v>
      </c>
      <c r="I33" s="2" t="str">
        <f t="shared" si="2"/>
        <v>CA</v>
      </c>
      <c r="J33" s="2" t="str">
        <f t="shared" si="3"/>
        <v>DEC</v>
      </c>
    </row>
    <row r="34" spans="1:10" ht="27.6" thickBot="1" x14ac:dyDescent="0.3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 t="str">
        <f t="shared" si="0"/>
        <v>Standard Price</v>
      </c>
      <c r="H34" s="2" t="str">
        <f t="shared" si="1"/>
        <v>17</v>
      </c>
      <c r="I34" s="2" t="str">
        <f t="shared" si="2"/>
        <v>IN</v>
      </c>
      <c r="J34" s="2" t="str">
        <f t="shared" si="3"/>
        <v>JUN</v>
      </c>
    </row>
    <row r="35" spans="1:10" ht="27.6" thickBot="1" x14ac:dyDescent="0.35">
      <c r="A35" s="2" t="s">
        <v>90</v>
      </c>
      <c r="B35" s="2" t="s">
        <v>91</v>
      </c>
      <c r="C35" s="2" t="s">
        <v>92</v>
      </c>
      <c r="D35" s="2">
        <v>100</v>
      </c>
      <c r="E35" s="2">
        <v>20</v>
      </c>
      <c r="F35" s="2" t="s">
        <v>53</v>
      </c>
      <c r="G35" s="2" t="str">
        <f t="shared" si="0"/>
        <v>High Price</v>
      </c>
      <c r="H35" s="2" t="str">
        <f t="shared" si="1"/>
        <v>09</v>
      </c>
      <c r="I35" s="2" t="str">
        <f t="shared" si="2"/>
        <v>FR</v>
      </c>
      <c r="J35" s="2" t="str">
        <f t="shared" si="3"/>
        <v>JUL</v>
      </c>
    </row>
    <row r="37" spans="1:10" ht="15.6" x14ac:dyDescent="0.3">
      <c r="A37" s="3" t="s">
        <v>93</v>
      </c>
      <c r="B37" s="4"/>
      <c r="C37" s="4"/>
      <c r="D37" s="4"/>
    </row>
    <row r="38" spans="1:10" x14ac:dyDescent="0.3">
      <c r="A38">
        <f>SUM(D1:D35)</f>
        <v>10100</v>
      </c>
    </row>
    <row r="39" spans="1:10" ht="15.6" x14ac:dyDescent="0.3">
      <c r="A39" s="3" t="s">
        <v>94</v>
      </c>
    </row>
    <row r="40" spans="1:10" x14ac:dyDescent="0.3">
      <c r="A40">
        <f>COUNTA(B2:B35)</f>
        <v>34</v>
      </c>
    </row>
    <row r="41" spans="1:10" ht="15.6" x14ac:dyDescent="0.3">
      <c r="A41" s="3" t="s">
        <v>95</v>
      </c>
    </row>
    <row r="42" spans="1:10" x14ac:dyDescent="0.3">
      <c r="A42">
        <f>AVERAGE(D2:D35)</f>
        <v>297.05882352941177</v>
      </c>
    </row>
    <row r="43" spans="1:10" ht="15.6" x14ac:dyDescent="0.3">
      <c r="A43" s="3" t="s">
        <v>96</v>
      </c>
    </row>
    <row r="44" spans="1:10" x14ac:dyDescent="0.3">
      <c r="A44">
        <f>MIN(D2:D35)</f>
        <v>30</v>
      </c>
    </row>
    <row r="45" spans="1:10" ht="15.6" x14ac:dyDescent="0.3">
      <c r="A45" s="3" t="s">
        <v>97</v>
      </c>
    </row>
    <row r="46" spans="1:10" x14ac:dyDescent="0.3">
      <c r="A46">
        <f>MAX(D2:D35)</f>
        <v>1000</v>
      </c>
    </row>
    <row r="47" spans="1:10" ht="15.6" x14ac:dyDescent="0.3">
      <c r="A47" s="3" t="s">
        <v>98</v>
      </c>
    </row>
    <row r="49" spans="1:9" ht="15.6" x14ac:dyDescent="0.3">
      <c r="A49" s="3" t="s">
        <v>100</v>
      </c>
      <c r="B49" s="4"/>
      <c r="C49" s="4"/>
      <c r="D49" s="4"/>
      <c r="E49" s="4"/>
      <c r="F49" s="4"/>
    </row>
    <row r="50" spans="1:9" x14ac:dyDescent="0.3">
      <c r="A50">
        <f>SUMIF(F1:F35,F34,D1:D35)</f>
        <v>8050</v>
      </c>
    </row>
    <row r="51" spans="1:9" ht="15.6" x14ac:dyDescent="0.3">
      <c r="A51" s="3" t="s">
        <v>101</v>
      </c>
      <c r="B51" s="4"/>
      <c r="C51" s="4"/>
      <c r="D51" s="4"/>
      <c r="E51" s="4"/>
      <c r="F51" s="4"/>
    </row>
    <row r="52" spans="1:9" x14ac:dyDescent="0.3">
      <c r="A52">
        <f>COUNTIF(D2:D35,"&lt;100")</f>
        <v>11</v>
      </c>
    </row>
    <row r="53" spans="1:9" ht="15.6" x14ac:dyDescent="0.3">
      <c r="A53" s="3" t="s">
        <v>102</v>
      </c>
      <c r="B53" s="4"/>
      <c r="C53" s="4"/>
      <c r="D53" s="4"/>
      <c r="E53" s="4"/>
      <c r="F53" s="4"/>
      <c r="G53" s="4"/>
    </row>
    <row r="55" spans="1:9" ht="15.6" x14ac:dyDescent="0.3">
      <c r="A55" s="3" t="s">
        <v>104</v>
      </c>
      <c r="B55" s="4"/>
      <c r="C55" s="4"/>
      <c r="D55" s="4"/>
      <c r="E55" s="4"/>
      <c r="F55" s="4"/>
      <c r="G55" s="4"/>
      <c r="H55" s="4"/>
      <c r="I55" s="4"/>
    </row>
    <row r="57" spans="1:9" ht="15.6" x14ac:dyDescent="0.3">
      <c r="A57" s="3" t="s">
        <v>106</v>
      </c>
      <c r="B57" s="4"/>
      <c r="C57" s="4"/>
      <c r="D57" s="4"/>
      <c r="E57" s="4"/>
      <c r="F57" s="4"/>
      <c r="G57" s="4"/>
      <c r="H57" s="4"/>
      <c r="I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Biyona Binoy</dc:creator>
  <cp:lastModifiedBy>Biyona Binoy</cp:lastModifiedBy>
  <dcterms:created xsi:type="dcterms:W3CDTF">2026-03-22T17:53:58Z</dcterms:created>
  <dcterms:modified xsi:type="dcterms:W3CDTF">2026-09-16T09:18:41Z</dcterms:modified>
</cp:coreProperties>
</file>